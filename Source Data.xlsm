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autocad-dynamic-block-script-generator\"/>
    </mc:Choice>
  </mc:AlternateContent>
  <xr:revisionPtr revIDLastSave="0" documentId="13_ncr:1_{F0A5551B-E1FB-4E9E-AD69-5CE3A4ED2A4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definedNames>
    <definedName name="xOffset">Sheet1!$L$2</definedName>
    <definedName name="xStep">Sheet1!$L$4</definedName>
    <definedName name="yOffset">Sheet1!$L$3</definedName>
    <definedName name="yStep">Sheet1!$L$5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F2" i="1" s="1"/>
  <c r="H2" i="1" s="1"/>
  <c r="E3" i="1"/>
  <c r="F3" i="1" s="1"/>
  <c r="H3" i="1" s="1"/>
  <c r="E4" i="1"/>
  <c r="F4" i="1" s="1"/>
  <c r="H4" i="1" s="1"/>
  <c r="E5" i="1"/>
  <c r="F5" i="1" s="1"/>
  <c r="H5" i="1" s="1"/>
  <c r="E6" i="1"/>
  <c r="F6" i="1" s="1"/>
  <c r="H6" i="1" s="1"/>
  <c r="E7" i="1"/>
  <c r="F7" i="1" s="1"/>
  <c r="H7" i="1" s="1"/>
  <c r="E8" i="1"/>
  <c r="F8" i="1" s="1"/>
  <c r="H8" i="1" s="1"/>
  <c r="E9" i="1"/>
  <c r="F9" i="1" s="1"/>
  <c r="H9" i="1" s="1"/>
  <c r="E10" i="1"/>
  <c r="F10" i="1" s="1"/>
  <c r="H10" i="1" s="1"/>
  <c r="E11" i="1"/>
  <c r="F11" i="1" s="1"/>
  <c r="H11" i="1" s="1"/>
  <c r="E12" i="1"/>
  <c r="F12" i="1" s="1"/>
  <c r="H12" i="1" s="1"/>
  <c r="E13" i="1"/>
  <c r="F13" i="1" s="1"/>
  <c r="H13" i="1" s="1"/>
  <c r="E14" i="1"/>
  <c r="F14" i="1" s="1"/>
  <c r="H14" i="1" s="1"/>
  <c r="E15" i="1"/>
  <c r="F15" i="1" s="1"/>
  <c r="H15" i="1" s="1"/>
  <c r="E16" i="1"/>
  <c r="F16" i="1" s="1"/>
  <c r="H16" i="1" s="1"/>
  <c r="E17" i="1"/>
  <c r="F17" i="1" s="1"/>
  <c r="H17" i="1" s="1"/>
  <c r="E18" i="1"/>
  <c r="F18" i="1" s="1"/>
  <c r="H18" i="1" s="1"/>
  <c r="E19" i="1"/>
  <c r="G19" i="1" s="1"/>
  <c r="I19" i="1" s="1"/>
  <c r="E20" i="1"/>
  <c r="F20" i="1" s="1"/>
  <c r="H20" i="1" s="1"/>
  <c r="E21" i="1"/>
  <c r="F21" i="1" s="1"/>
  <c r="H21" i="1" s="1"/>
  <c r="G15" i="1" l="1"/>
  <c r="I15" i="1" s="1"/>
  <c r="A15" i="1" s="1"/>
  <c r="F19" i="1"/>
  <c r="H19" i="1" s="1"/>
  <c r="A19" i="1" s="1"/>
  <c r="G21" i="1"/>
  <c r="I21" i="1" s="1"/>
  <c r="A21" i="1" s="1"/>
  <c r="G17" i="1"/>
  <c r="I17" i="1" s="1"/>
  <c r="A17" i="1" s="1"/>
  <c r="G13" i="1"/>
  <c r="I13" i="1" s="1"/>
  <c r="A13" i="1" s="1"/>
  <c r="G9" i="1"/>
  <c r="I9" i="1" s="1"/>
  <c r="A9" i="1" s="1"/>
  <c r="G5" i="1"/>
  <c r="I5" i="1" s="1"/>
  <c r="A5" i="1" s="1"/>
  <c r="G11" i="1"/>
  <c r="I11" i="1" s="1"/>
  <c r="A11" i="1" s="1"/>
  <c r="G3" i="1"/>
  <c r="I3" i="1" s="1"/>
  <c r="A3" i="1" s="1"/>
  <c r="G20" i="1"/>
  <c r="I20" i="1" s="1"/>
  <c r="A20" i="1" s="1"/>
  <c r="G16" i="1"/>
  <c r="I16" i="1" s="1"/>
  <c r="A16" i="1" s="1"/>
  <c r="G12" i="1"/>
  <c r="I12" i="1" s="1"/>
  <c r="A12" i="1" s="1"/>
  <c r="G8" i="1"/>
  <c r="I8" i="1" s="1"/>
  <c r="A8" i="1" s="1"/>
  <c r="G4" i="1"/>
  <c r="I4" i="1" s="1"/>
  <c r="A4" i="1" s="1"/>
  <c r="G7" i="1"/>
  <c r="I7" i="1" s="1"/>
  <c r="A7" i="1" s="1"/>
  <c r="G18" i="1"/>
  <c r="I18" i="1" s="1"/>
  <c r="A18" i="1" s="1"/>
  <c r="G14" i="1"/>
  <c r="I14" i="1" s="1"/>
  <c r="A14" i="1" s="1"/>
  <c r="G10" i="1"/>
  <c r="I10" i="1" s="1"/>
  <c r="A10" i="1" s="1"/>
  <c r="G6" i="1"/>
  <c r="I6" i="1" s="1"/>
  <c r="A6" i="1" s="1"/>
  <c r="G2" i="1"/>
  <c r="I2" i="1" s="1"/>
  <c r="A2" i="1" s="1"/>
</calcChain>
</file>

<file path=xl/sharedStrings.xml><?xml version="1.0" encoding="utf-8"?>
<sst xmlns="http://schemas.openxmlformats.org/spreadsheetml/2006/main" count="76" uniqueCount="76">
  <si>
    <t>cadPoints</t>
  </si>
  <si>
    <t>cadAttribute2</t>
  </si>
  <si>
    <t>idx</t>
  </si>
  <si>
    <t>X</t>
  </si>
  <si>
    <t>Y</t>
  </si>
  <si>
    <t>cadX</t>
  </si>
  <si>
    <t>cadY</t>
  </si>
  <si>
    <t>xOffset</t>
  </si>
  <si>
    <t>yOffset</t>
  </si>
  <si>
    <t>xStep</t>
  </si>
  <si>
    <t>yStep</t>
  </si>
  <si>
    <t>cadAttribute3</t>
  </si>
  <si>
    <t>cadAttribute1</t>
  </si>
  <si>
    <t>="TK"&amp;TEXT(ROW()-1,"000")</t>
  </si>
  <si>
    <t>=TEXT((1000+RAND()*9000),"# ##0")&amp;"m³"</t>
  </si>
  <si>
    <t>="Ø"&amp;TEXT(2+(RAND()*18),"0.000")&amp;"×"&amp;TEXT(2+(RAND()*18),"0.000")&amp;"m"</t>
  </si>
  <si>
    <t>TK001</t>
  </si>
  <si>
    <t>4 442m³</t>
  </si>
  <si>
    <t>Ø7.266×10.642m</t>
  </si>
  <si>
    <t>TK002</t>
  </si>
  <si>
    <t>8 937m³</t>
  </si>
  <si>
    <t>Ø18.682×18.028m</t>
  </si>
  <si>
    <t>TK003</t>
  </si>
  <si>
    <t>8 893m³</t>
  </si>
  <si>
    <t>Ø10.230×12.940m</t>
  </si>
  <si>
    <t>TK004</t>
  </si>
  <si>
    <t>4 492m³</t>
  </si>
  <si>
    <t>Ø10.123×7.563m</t>
  </si>
  <si>
    <t>TK005</t>
  </si>
  <si>
    <t>1 274m³</t>
  </si>
  <si>
    <t>Ø16.523×7.160m</t>
  </si>
  <si>
    <t>TK006</t>
  </si>
  <si>
    <t>5 238m³</t>
  </si>
  <si>
    <t>Ø4.372×9.881m</t>
  </si>
  <si>
    <t>TK007</t>
  </si>
  <si>
    <t>5 914m³</t>
  </si>
  <si>
    <t>Ø5.856×18.299m</t>
  </si>
  <si>
    <t>TK008</t>
  </si>
  <si>
    <t>6 110m³</t>
  </si>
  <si>
    <t>Ø14.512×8.521m</t>
  </si>
  <si>
    <t>TK009</t>
  </si>
  <si>
    <t>6 657m³</t>
  </si>
  <si>
    <t>Ø19.903×15.705m</t>
  </si>
  <si>
    <t>TK010</t>
  </si>
  <si>
    <t>2 038m³</t>
  </si>
  <si>
    <t>Ø2.923×3.900m</t>
  </si>
  <si>
    <t>TK011</t>
  </si>
  <si>
    <t>1 177m³</t>
  </si>
  <si>
    <t>Ø15.143×4.829m</t>
  </si>
  <si>
    <t>TK012</t>
  </si>
  <si>
    <t>1 977m³</t>
  </si>
  <si>
    <t>Ø11.218×10.907m</t>
  </si>
  <si>
    <t>TK013</t>
  </si>
  <si>
    <t>3 154m³</t>
  </si>
  <si>
    <t>Ø3.117×11.766m</t>
  </si>
  <si>
    <t>TK014</t>
  </si>
  <si>
    <t>4 807m³</t>
  </si>
  <si>
    <t>Ø5.055×17.711m</t>
  </si>
  <si>
    <t>TK015</t>
  </si>
  <si>
    <t>1 723m³</t>
  </si>
  <si>
    <t>Ø9.305×3.305m</t>
  </si>
  <si>
    <t>TK016</t>
  </si>
  <si>
    <t>4 637m³</t>
  </si>
  <si>
    <t>Ø4.504×4.004m</t>
  </si>
  <si>
    <t>TK017</t>
  </si>
  <si>
    <t>2 534m³</t>
  </si>
  <si>
    <t>Ø19.258×10.071m</t>
  </si>
  <si>
    <t>TK018</t>
  </si>
  <si>
    <t>7 184m³</t>
  </si>
  <si>
    <t>Ø13.741×2.472m</t>
  </si>
  <si>
    <t>TK019</t>
  </si>
  <si>
    <t>6 070m³</t>
  </si>
  <si>
    <t>Ø8.432×4.749m</t>
  </si>
  <si>
    <t>TK020</t>
  </si>
  <si>
    <t>3 459m³</t>
  </si>
  <si>
    <t>Ø11.355×6.271m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</si>
</sst>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  <xf numFmtId="0" fontId="4" fillId="0" borderId="0" applyNumberFormat="0" applyFill="0" applyBorder="0" applyAlignment="0" applyProtection="0"/>
  </cellStyleXfs>
  <cellXfs count="5">
    <xf numFmtId="0" fontId="0" fillId="0" borderId="0" xfId="0"/>
    <xf numFmtId="0" fontId="1" fillId="4" borderId="0" xfId="3"/>
    <xf numFmtId="0" fontId="3" fillId="3" borderId="1" xfId="2"/>
    <xf numFmtId="0" fontId="2" fillId="2" borderId="0" xfId="1"/>
    <xf numFmtId="0" fontId="4" fillId="0" borderId="0" xfId="4" quotePrefix="1"/>
  </cellXfs>
  <cellStyles count="5">
    <cellStyle name="60% - Accent1" xfId="3" builtinId="32"/>
    <cellStyle name="Explanatory Text" xfId="4" builtinId="53"/>
    <cellStyle name="Input" xfId="2" builtinId="20"/>
    <cellStyle name="Neutral" xfId="1" builtinId="28"/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2C1105-8B71-4A8C-B8CA-2F06B9C4DB64}" name="Table1" displayName="Table1" ref="A1:I21" totalsRowShown="0">
  <autoFilter ref="A1:I21" xr:uid="{C8D42357-97AC-44D5-95D5-414AE37F819F}"/>
  <tableColumns count="9">
    <tableColumn id="2" xr3:uid="{514DEE8E-5553-47E5-8A38-918627A05370}" name="cadPoints" dataDxfId="7">
      <calculatedColumnFormula>Table1[[#This Row],[cadX]]&amp;","&amp;Table1[[#This Row],[cadY]]</calculatedColumnFormula>
    </tableColumn>
    <tableColumn id="1" xr3:uid="{B0C5DF11-C04B-483F-B83D-9615B323652D}" name="cadAttribute1"/>
    <tableColumn id="3" xr3:uid="{EF6B486E-F3E4-4E51-8CD9-2DABED935E27}" name="cadAttribute2" dataDxfId="6"/>
    <tableColumn id="4" xr3:uid="{D0024AED-F9EC-4C07-BB76-6274F160232A}" name="cadAttribute3" dataDxfId="5"/>
    <tableColumn id="5" xr3:uid="{E02AC0B0-50AD-41C3-AB04-D7CCC0B05CDD}" name="idx" dataDxfId="4">
      <calculatedColumnFormula>ROW()-1</calculatedColumnFormula>
    </tableColumn>
    <tableColumn id="6" xr3:uid="{3EF54269-78AF-4FAD-9CD4-23AED28EECF0}" name="X" dataDxfId="3">
      <calculatedColumnFormula>INT((Table1[[#This Row],[idx]]-1)/4)</calculatedColumnFormula>
    </tableColumn>
    <tableColumn id="7" xr3:uid="{5875D34B-5D0C-4F79-A5B0-C1449BE9469C}" name="Y" dataDxfId="2">
      <calculatedColumnFormula>MOD(Table1[[#This Row],[idx]]-1,4)</calculatedColumnFormula>
    </tableColumn>
    <tableColumn id="8" xr3:uid="{4A801192-34AC-442A-A3A9-D6A3E965764D}" name="cadX" dataDxfId="1">
      <calculatedColumnFormula>xOffset+(Table1[[#This Row],[X]]*xStep)</calculatedColumnFormula>
    </tableColumn>
    <tableColumn id="9" xr3:uid="{9715E772-8B7D-4F81-BB48-4652D9D35D59}" name="cadY" dataDxfId="0">
      <calculatedColumnFormula>yOffset+(Table1[[#This Row],[Y]]*yStep)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3"/>
  <sheetViews>
    <sheetView tabSelected="1" workbookViewId="0"/>
  </sheetViews>
  <sheetFormatPr defaultRowHeight="15" x14ac:dyDescent="0.25"/>
  <cols>
    <col min="1" max="1" width="16.7109375" customWidth="1"/>
    <col min="2" max="2" width="12.7109375" customWidth="1"/>
    <col min="4" max="4" width="12.7109375" customWidth="1"/>
    <col min="5" max="5" width="16.7109375" customWidth="1"/>
    <col min="6" max="10" width="12.7109375" customWidth="1"/>
  </cols>
  <sheetData>
    <row r="1" spans="1:12" x14ac:dyDescent="0.25">
      <c r="A1" t="s">
        <v>0</v>
      </c>
      <c r="B1" t="s">
        <v>12</v>
      </c>
      <c r="C1" t="s">
        <v>1</v>
      </c>
      <c r="D1" t="s">
        <v>11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</row>
    <row r="2" spans="1:12" x14ac:dyDescent="0.25">
      <c r="A2" t="str">
        <f>Table1[[#This Row],[cadX]]&amp;","&amp;Table1[[#This Row],[cadY]]</f>
        <v>100000,-50000</v>
      </c>
      <c r="B2" t="s">
        <v>16</v>
      </c>
      <c r="C2" t="s">
        <v>17</v>
      </c>
      <c r="D2" t="s">
        <v>18</v>
      </c>
      <c r="E2">
        <f t="shared" ref="E2:E21" si="0">ROW()-1</f>
        <v>1</v>
      </c>
      <c r="F2">
        <f>INT((Table1[[#This Row],[idx]]-1)/4)</f>
        <v>0</v>
      </c>
      <c r="G2">
        <f>MOD(Table1[[#This Row],[idx]]-1,4)</f>
        <v>0</v>
      </c>
      <c r="H2">
        <f>xOffset+(Table1[[#This Row],[X]]*xStep)</f>
        <v>100000</v>
      </c>
      <c r="I2">
        <f>yOffset+(Table1[[#This Row],[Y]]*yStep)</f>
        <v>-50000</v>
      </c>
      <c r="K2" s="1" t="s">
        <v>7</v>
      </c>
      <c r="L2" s="2">
        <v>100000</v>
      </c>
    </row>
    <row r="3" spans="1:12" x14ac:dyDescent="0.25">
      <c r="A3" t="str">
        <f>Table1[[#This Row],[cadX]]&amp;","&amp;Table1[[#This Row],[cadY]]</f>
        <v>100000,-55000</v>
      </c>
      <c r="B3" t="s">
        <v>19</v>
      </c>
      <c r="C3" t="s">
        <v>20</v>
      </c>
      <c r="D3" t="s">
        <v>21</v>
      </c>
      <c r="E3">
        <f t="shared" si="0"/>
        <v>2</v>
      </c>
      <c r="F3">
        <f>INT((Table1[[#This Row],[idx]]-1)/4)</f>
        <v>0</v>
      </c>
      <c r="G3">
        <f>MOD(Table1[[#This Row],[idx]]-1,4)</f>
        <v>1</v>
      </c>
      <c r="H3">
        <f>xOffset+(Table1[[#This Row],[X]]*xStep)</f>
        <v>100000</v>
      </c>
      <c r="I3">
        <f>yOffset+(Table1[[#This Row],[Y]]*yStep)</f>
        <v>-55000</v>
      </c>
      <c r="K3" s="1" t="s">
        <v>8</v>
      </c>
      <c r="L3" s="2">
        <v>-50000</v>
      </c>
    </row>
    <row r="4" spans="1:12" x14ac:dyDescent="0.25">
      <c r="A4" t="str">
        <f>Table1[[#This Row],[cadX]]&amp;","&amp;Table1[[#This Row],[cadY]]</f>
        <v>100000,-60000</v>
      </c>
      <c r="B4" t="s">
        <v>22</v>
      </c>
      <c r="C4" t="s">
        <v>23</v>
      </c>
      <c r="D4" t="s">
        <v>24</v>
      </c>
      <c r="E4">
        <f t="shared" si="0"/>
        <v>3</v>
      </c>
      <c r="F4">
        <f>INT((Table1[[#This Row],[idx]]-1)/4)</f>
        <v>0</v>
      </c>
      <c r="G4">
        <f>MOD(Table1[[#This Row],[idx]]-1,4)</f>
        <v>2</v>
      </c>
      <c r="H4">
        <f>xOffset+(Table1[[#This Row],[X]]*xStep)</f>
        <v>100000</v>
      </c>
      <c r="I4">
        <f>yOffset+(Table1[[#This Row],[Y]]*yStep)</f>
        <v>-60000</v>
      </c>
      <c r="K4" s="1" t="s">
        <v>9</v>
      </c>
      <c r="L4" s="2">
        <v>5000</v>
      </c>
    </row>
    <row r="5" spans="1:12" x14ac:dyDescent="0.25">
      <c r="A5" t="str">
        <f>Table1[[#This Row],[cadX]]&amp;","&amp;Table1[[#This Row],[cadY]]</f>
        <v>100000,-65000</v>
      </c>
      <c r="B5" t="s">
        <v>25</v>
      </c>
      <c r="C5" t="s">
        <v>26</v>
      </c>
      <c r="D5" t="s">
        <v>27</v>
      </c>
      <c r="E5">
        <f t="shared" si="0"/>
        <v>4</v>
      </c>
      <c r="F5">
        <f>INT((Table1[[#This Row],[idx]]-1)/4)</f>
        <v>0</v>
      </c>
      <c r="G5">
        <f>MOD(Table1[[#This Row],[idx]]-1,4)</f>
        <v>3</v>
      </c>
      <c r="H5">
        <f>xOffset+(Table1[[#This Row],[X]]*xStep)</f>
        <v>100000</v>
      </c>
      <c r="I5">
        <f>yOffset+(Table1[[#This Row],[Y]]*yStep)</f>
        <v>-65000</v>
      </c>
      <c r="K5" s="1" t="s">
        <v>10</v>
      </c>
      <c r="L5" s="2">
        <v>-5000</v>
      </c>
    </row>
    <row r="6" spans="1:12" x14ac:dyDescent="0.25">
      <c r="A6" t="str">
        <f>Table1[[#This Row],[cadX]]&amp;","&amp;Table1[[#This Row],[cadY]]</f>
        <v>105000,-50000</v>
      </c>
      <c r="B6" t="s">
        <v>28</v>
      </c>
      <c r="C6" t="s">
        <v>29</v>
      </c>
      <c r="D6" t="s">
        <v>30</v>
      </c>
      <c r="E6">
        <f t="shared" si="0"/>
        <v>5</v>
      </c>
      <c r="F6">
        <f>INT((Table1[[#This Row],[idx]]-1)/4)</f>
        <v>1</v>
      </c>
      <c r="G6">
        <f>MOD(Table1[[#This Row],[idx]]-1,4)</f>
        <v>0</v>
      </c>
      <c r="H6">
        <f>xOffset+(Table1[[#This Row],[X]]*xStep)</f>
        <v>105000</v>
      </c>
      <c r="I6">
        <f>yOffset+(Table1[[#This Row],[Y]]*yStep)</f>
        <v>-50000</v>
      </c>
    </row>
    <row r="7" spans="1:12" x14ac:dyDescent="0.25">
      <c r="A7" t="str">
        <f>Table1[[#This Row],[cadX]]&amp;","&amp;Table1[[#This Row],[cadY]]</f>
        <v>105000,-55000</v>
      </c>
      <c r="B7" t="s">
        <v>31</v>
      </c>
      <c r="C7" t="s">
        <v>32</v>
      </c>
      <c r="D7" t="s">
        <v>33</v>
      </c>
      <c r="E7">
        <f t="shared" si="0"/>
        <v>6</v>
      </c>
      <c r="F7">
        <f>INT((Table1[[#This Row],[idx]]-1)/4)</f>
        <v>1</v>
      </c>
      <c r="G7">
        <f>MOD(Table1[[#This Row],[idx]]-1,4)</f>
        <v>1</v>
      </c>
      <c r="H7">
        <f>xOffset+(Table1[[#This Row],[X]]*xStep)</f>
        <v>105000</v>
      </c>
      <c r="I7">
        <f>yOffset+(Table1[[#This Row],[Y]]*yStep)</f>
        <v>-55000</v>
      </c>
    </row>
    <row r="8" spans="1:12" x14ac:dyDescent="0.25">
      <c r="A8" t="str">
        <f>Table1[[#This Row],[cadX]]&amp;","&amp;Table1[[#This Row],[cadY]]</f>
        <v>105000,-60000</v>
      </c>
      <c r="B8" t="s">
        <v>34</v>
      </c>
      <c r="C8" t="s">
        <v>35</v>
      </c>
      <c r="D8" t="s">
        <v>36</v>
      </c>
      <c r="E8">
        <f t="shared" si="0"/>
        <v>7</v>
      </c>
      <c r="F8">
        <f>INT((Table1[[#This Row],[idx]]-1)/4)</f>
        <v>1</v>
      </c>
      <c r="G8">
        <f>MOD(Table1[[#This Row],[idx]]-1,4)</f>
        <v>2</v>
      </c>
      <c r="H8">
        <f>xOffset+(Table1[[#This Row],[X]]*xStep)</f>
        <v>105000</v>
      </c>
      <c r="I8">
        <f>yOffset+(Table1[[#This Row],[Y]]*yStep)</f>
        <v>-60000</v>
      </c>
    </row>
    <row r="9" spans="1:12" x14ac:dyDescent="0.25">
      <c r="A9" t="str">
        <f>Table1[[#This Row],[cadX]]&amp;","&amp;Table1[[#This Row],[cadY]]</f>
        <v>105000,-65000</v>
      </c>
      <c r="B9" t="s">
        <v>37</v>
      </c>
      <c r="C9" t="s">
        <v>38</v>
      </c>
      <c r="D9" t="s">
        <v>39</v>
      </c>
      <c r="E9">
        <f t="shared" si="0"/>
        <v>8</v>
      </c>
      <c r="F9">
        <f>INT((Table1[[#This Row],[idx]]-1)/4)</f>
        <v>1</v>
      </c>
      <c r="G9">
        <f>MOD(Table1[[#This Row],[idx]]-1,4)</f>
        <v>3</v>
      </c>
      <c r="H9">
        <f>xOffset+(Table1[[#This Row],[X]]*xStep)</f>
        <v>105000</v>
      </c>
      <c r="I9">
        <f>yOffset+(Table1[[#This Row],[Y]]*yStep)</f>
        <v>-65000</v>
      </c>
    </row>
    <row r="10" spans="1:12" x14ac:dyDescent="0.25">
      <c r="A10" t="str">
        <f>Table1[[#This Row],[cadX]]&amp;","&amp;Table1[[#This Row],[cadY]]</f>
        <v>110000,-50000</v>
      </c>
      <c r="B10" t="s">
        <v>40</v>
      </c>
      <c r="C10" t="s">
        <v>41</v>
      </c>
      <c r="D10" t="s">
        <v>42</v>
      </c>
      <c r="E10">
        <f t="shared" si="0"/>
        <v>9</v>
      </c>
      <c r="F10">
        <f>INT((Table1[[#This Row],[idx]]-1)/4)</f>
        <v>2</v>
      </c>
      <c r="G10">
        <f>MOD(Table1[[#This Row],[idx]]-1,4)</f>
        <v>0</v>
      </c>
      <c r="H10">
        <f>xOffset+(Table1[[#This Row],[X]]*xStep)</f>
        <v>110000</v>
      </c>
      <c r="I10">
        <f>yOffset+(Table1[[#This Row],[Y]]*yStep)</f>
        <v>-50000</v>
      </c>
    </row>
    <row r="11" spans="1:12" x14ac:dyDescent="0.25">
      <c r="A11" t="str">
        <f>Table1[[#This Row],[cadX]]&amp;","&amp;Table1[[#This Row],[cadY]]</f>
        <v>110000,-55000</v>
      </c>
      <c r="B11" t="s">
        <v>43</v>
      </c>
      <c r="C11" t="s">
        <v>44</v>
      </c>
      <c r="D11" t="s">
        <v>45</v>
      </c>
      <c r="E11">
        <f t="shared" si="0"/>
        <v>10</v>
      </c>
      <c r="F11">
        <f>INT((Table1[[#This Row],[idx]]-1)/4)</f>
        <v>2</v>
      </c>
      <c r="G11">
        <f>MOD(Table1[[#This Row],[idx]]-1,4)</f>
        <v>1</v>
      </c>
      <c r="H11">
        <f>xOffset+(Table1[[#This Row],[X]]*xStep)</f>
        <v>110000</v>
      </c>
      <c r="I11">
        <f>yOffset+(Table1[[#This Row],[Y]]*yStep)</f>
        <v>-55000</v>
      </c>
    </row>
    <row r="12" spans="1:12" x14ac:dyDescent="0.25">
      <c r="A12" t="str">
        <f>Table1[[#This Row],[cadX]]&amp;","&amp;Table1[[#This Row],[cadY]]</f>
        <v>110000,-60000</v>
      </c>
      <c r="B12" t="s">
        <v>46</v>
      </c>
      <c r="C12" t="s">
        <v>47</v>
      </c>
      <c r="D12" t="s">
        <v>48</v>
      </c>
      <c r="E12">
        <f t="shared" si="0"/>
        <v>11</v>
      </c>
      <c r="F12">
        <f>INT((Table1[[#This Row],[idx]]-1)/4)</f>
        <v>2</v>
      </c>
      <c r="G12">
        <f>MOD(Table1[[#This Row],[idx]]-1,4)</f>
        <v>2</v>
      </c>
      <c r="H12">
        <f>xOffset+(Table1[[#This Row],[X]]*xStep)</f>
        <v>110000</v>
      </c>
      <c r="I12">
        <f>yOffset+(Table1[[#This Row],[Y]]*yStep)</f>
        <v>-60000</v>
      </c>
    </row>
    <row r="13" spans="1:12" x14ac:dyDescent="0.25">
      <c r="A13" t="str">
        <f>Table1[[#This Row],[cadX]]&amp;","&amp;Table1[[#This Row],[cadY]]</f>
        <v>110000,-65000</v>
      </c>
      <c r="B13" t="s">
        <v>49</v>
      </c>
      <c r="C13" t="s">
        <v>50</v>
      </c>
      <c r="D13" t="s">
        <v>51</v>
      </c>
      <c r="E13">
        <f t="shared" si="0"/>
        <v>12</v>
      </c>
      <c r="F13">
        <f>INT((Table1[[#This Row],[idx]]-1)/4)</f>
        <v>2</v>
      </c>
      <c r="G13">
        <f>MOD(Table1[[#This Row],[idx]]-1,4)</f>
        <v>3</v>
      </c>
      <c r="H13">
        <f>xOffset+(Table1[[#This Row],[X]]*xStep)</f>
        <v>110000</v>
      </c>
      <c r="I13">
        <f>yOffset+(Table1[[#This Row],[Y]]*yStep)</f>
        <v>-65000</v>
      </c>
    </row>
    <row r="14" spans="1:12" x14ac:dyDescent="0.25">
      <c r="A14" t="str">
        <f>Table1[[#This Row],[cadX]]&amp;","&amp;Table1[[#This Row],[cadY]]</f>
        <v>115000,-50000</v>
      </c>
      <c r="B14" t="s">
        <v>52</v>
      </c>
      <c r="C14" t="s">
        <v>53</v>
      </c>
      <c r="D14" t="s">
        <v>54</v>
      </c>
      <c r="E14">
        <f t="shared" si="0"/>
        <v>13</v>
      </c>
      <c r="F14">
        <f>INT((Table1[[#This Row],[idx]]-1)/4)</f>
        <v>3</v>
      </c>
      <c r="G14">
        <f>MOD(Table1[[#This Row],[idx]]-1,4)</f>
        <v>0</v>
      </c>
      <c r="H14">
        <f>xOffset+(Table1[[#This Row],[X]]*xStep)</f>
        <v>115000</v>
      </c>
      <c r="I14">
        <f>yOffset+(Table1[[#This Row],[Y]]*yStep)</f>
        <v>-50000</v>
      </c>
    </row>
    <row r="15" spans="1:12" x14ac:dyDescent="0.25">
      <c r="A15" t="str">
        <f>Table1[[#This Row],[cadX]]&amp;","&amp;Table1[[#This Row],[cadY]]</f>
        <v>115000,-55000</v>
      </c>
      <c r="B15" t="s">
        <v>55</v>
      </c>
      <c r="C15" t="s">
        <v>56</v>
      </c>
      <c r="D15" t="s">
        <v>57</v>
      </c>
      <c r="E15">
        <f t="shared" si="0"/>
        <v>14</v>
      </c>
      <c r="F15">
        <f>INT((Table1[[#This Row],[idx]]-1)/4)</f>
        <v>3</v>
      </c>
      <c r="G15">
        <f>MOD(Table1[[#This Row],[idx]]-1,4)</f>
        <v>1</v>
      </c>
      <c r="H15">
        <f>xOffset+(Table1[[#This Row],[X]]*xStep)</f>
        <v>115000</v>
      </c>
      <c r="I15">
        <f>yOffset+(Table1[[#This Row],[Y]]*yStep)</f>
        <v>-55000</v>
      </c>
    </row>
    <row r="16" spans="1:12" x14ac:dyDescent="0.25">
      <c r="A16" t="str">
        <f>Table1[[#This Row],[cadX]]&amp;","&amp;Table1[[#This Row],[cadY]]</f>
        <v>115000,-60000</v>
      </c>
      <c r="B16" t="s">
        <v>58</v>
      </c>
      <c r="C16" t="s">
        <v>59</v>
      </c>
      <c r="D16" t="s">
        <v>60</v>
      </c>
      <c r="E16">
        <f t="shared" si="0"/>
        <v>15</v>
      </c>
      <c r="F16">
        <f>INT((Table1[[#This Row],[idx]]-1)/4)</f>
        <v>3</v>
      </c>
      <c r="G16">
        <f>MOD(Table1[[#This Row],[idx]]-1,4)</f>
        <v>2</v>
      </c>
      <c r="H16">
        <f>xOffset+(Table1[[#This Row],[X]]*xStep)</f>
        <v>115000</v>
      </c>
      <c r="I16">
        <f>yOffset+(Table1[[#This Row],[Y]]*yStep)</f>
        <v>-60000</v>
      </c>
    </row>
    <row r="17" spans="1:9" x14ac:dyDescent="0.25">
      <c r="A17" t="str">
        <f>Table1[[#This Row],[cadX]]&amp;","&amp;Table1[[#This Row],[cadY]]</f>
        <v>115000,-65000</v>
      </c>
      <c r="B17" t="s">
        <v>61</v>
      </c>
      <c r="C17" t="s">
        <v>62</v>
      </c>
      <c r="D17" t="s">
        <v>63</v>
      </c>
      <c r="E17">
        <f t="shared" si="0"/>
        <v>16</v>
      </c>
      <c r="F17">
        <f>INT((Table1[[#This Row],[idx]]-1)/4)</f>
        <v>3</v>
      </c>
      <c r="G17">
        <f>MOD(Table1[[#This Row],[idx]]-1,4)</f>
        <v>3</v>
      </c>
      <c r="H17">
        <f>xOffset+(Table1[[#This Row],[X]]*xStep)</f>
        <v>115000</v>
      </c>
      <c r="I17">
        <f>yOffset+(Table1[[#This Row],[Y]]*yStep)</f>
        <v>-65000</v>
      </c>
    </row>
    <row r="18" spans="1:9" x14ac:dyDescent="0.25">
      <c r="A18" t="str">
        <f>Table1[[#This Row],[cadX]]&amp;","&amp;Table1[[#This Row],[cadY]]</f>
        <v>120000,-50000</v>
      </c>
      <c r="B18" t="s">
        <v>64</v>
      </c>
      <c r="C18" t="s">
        <v>65</v>
      </c>
      <c r="D18" t="s">
        <v>66</v>
      </c>
      <c r="E18">
        <f t="shared" si="0"/>
        <v>17</v>
      </c>
      <c r="F18">
        <f>INT((Table1[[#This Row],[idx]]-1)/4)</f>
        <v>4</v>
      </c>
      <c r="G18">
        <f>MOD(Table1[[#This Row],[idx]]-1,4)</f>
        <v>0</v>
      </c>
      <c r="H18">
        <f>xOffset+(Table1[[#This Row],[X]]*xStep)</f>
        <v>120000</v>
      </c>
      <c r="I18">
        <f>yOffset+(Table1[[#This Row],[Y]]*yStep)</f>
        <v>-50000</v>
      </c>
    </row>
    <row r="19" spans="1:9" x14ac:dyDescent="0.25">
      <c r="A19" t="str">
        <f>Table1[[#This Row],[cadX]]&amp;","&amp;Table1[[#This Row],[cadY]]</f>
        <v>120000,-55000</v>
      </c>
      <c r="B19" t="s">
        <v>67</v>
      </c>
      <c r="C19" t="s">
        <v>68</v>
      </c>
      <c r="D19" t="s">
        <v>69</v>
      </c>
      <c r="E19">
        <f t="shared" si="0"/>
        <v>18</v>
      </c>
      <c r="F19">
        <f>INT((Table1[[#This Row],[idx]]-1)/4)</f>
        <v>4</v>
      </c>
      <c r="G19">
        <f>MOD(Table1[[#This Row],[idx]]-1,4)</f>
        <v>1</v>
      </c>
      <c r="H19">
        <f>xOffset+(Table1[[#This Row],[X]]*xStep)</f>
        <v>120000</v>
      </c>
      <c r="I19">
        <f>yOffset+(Table1[[#This Row],[Y]]*yStep)</f>
        <v>-55000</v>
      </c>
    </row>
    <row r="20" spans="1:9" x14ac:dyDescent="0.25">
      <c r="A20" t="str">
        <f>Table1[[#This Row],[cadX]]&amp;","&amp;Table1[[#This Row],[cadY]]</f>
        <v>120000,-60000</v>
      </c>
      <c r="B20" t="s">
        <v>70</v>
      </c>
      <c r="C20" t="s">
        <v>71</v>
      </c>
      <c r="D20" t="s">
        <v>72</v>
      </c>
      <c r="E20">
        <f t="shared" si="0"/>
        <v>19</v>
      </c>
      <c r="F20">
        <f>INT((Table1[[#This Row],[idx]]-1)/4)</f>
        <v>4</v>
      </c>
      <c r="G20">
        <f>MOD(Table1[[#This Row],[idx]]-1,4)</f>
        <v>2</v>
      </c>
      <c r="H20">
        <f>xOffset+(Table1[[#This Row],[X]]*xStep)</f>
        <v>120000</v>
      </c>
      <c r="I20">
        <f>yOffset+(Table1[[#This Row],[Y]]*yStep)</f>
        <v>-60000</v>
      </c>
    </row>
    <row r="21" spans="1:9" x14ac:dyDescent="0.25">
      <c r="A21" t="str">
        <f>Table1[[#This Row],[cadX]]&amp;","&amp;Table1[[#This Row],[cadY]]</f>
        <v>120000,-65000</v>
      </c>
      <c r="B21" t="s">
        <v>73</v>
      </c>
      <c r="C21" t="s">
        <v>74</v>
      </c>
      <c r="D21" t="s">
        <v>75</v>
      </c>
      <c r="E21">
        <f t="shared" si="0"/>
        <v>20</v>
      </c>
      <c r="F21">
        <f>INT((Table1[[#This Row],[idx]]-1)/4)</f>
        <v>4</v>
      </c>
      <c r="G21">
        <f>MOD(Table1[[#This Row],[idx]]-1,4)</f>
        <v>3</v>
      </c>
      <c r="H21">
        <f>xOffset+(Table1[[#This Row],[X]]*xStep)</f>
        <v>120000</v>
      </c>
      <c r="I21">
        <f>yOffset+(Table1[[#This Row],[Y]]*yStep)</f>
        <v>-65000</v>
      </c>
    </row>
    <row r="23" spans="1:9" x14ac:dyDescent="0.25">
      <c r="B23" s="4" t="s">
        <v>13</v>
      </c>
      <c r="C23" s="4" t="s">
        <v>14</v>
      </c>
      <c r="D23" s="4" t="s">
        <v>15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xOffset</vt:lpstr>
      <vt:lpstr>xStep</vt:lpstr>
      <vt:lpstr>yOffset</vt:lpstr>
      <vt:lpstr>yStep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2015-06-05T18:17:20Z</dcterms:created>
  <dcterms:modified xsi:type="dcterms:W3CDTF">2021-12-03T12:21:04Z</dcterms:modified>
</cp:coreProperties>
</file>